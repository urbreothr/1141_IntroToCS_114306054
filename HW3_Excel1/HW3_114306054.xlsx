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ty\Desktop\1141_IntroToCS_114306054\HW3_Excel1\"/>
    </mc:Choice>
  </mc:AlternateContent>
  <xr:revisionPtr revIDLastSave="0" documentId="8_{3C85A7F5-80F1-4DDD-9812-2EA23D81734B}" xr6:coauthVersionLast="47" xr6:coauthVersionMax="47" xr10:uidLastSave="{00000000-0000-0000-0000-000000000000}"/>
  <bookViews>
    <workbookView xWindow="-98" yWindow="-98" windowWidth="21795" windowHeight="12975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7" i="1"/>
  <c r="H17" i="1"/>
  <c r="D17" i="1"/>
  <c r="C17" i="1"/>
  <c r="J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 a="1"/>
  <c r="K3" i="1" s="1"/>
  <c r="K4" i="1" a="1"/>
  <c r="K4" i="1"/>
  <c r="K5" i="1" a="1"/>
  <c r="K5" i="1"/>
  <c r="K6" i="1" a="1"/>
  <c r="K6" i="1"/>
  <c r="K7" i="1" a="1"/>
  <c r="K7" i="1" s="1"/>
  <c r="K8" i="1" a="1"/>
  <c r="K8" i="1"/>
  <c r="K9" i="1" a="1"/>
  <c r="K9" i="1"/>
  <c r="K10" i="1" a="1"/>
  <c r="K10" i="1"/>
  <c r="K11" i="1" a="1"/>
  <c r="K11" i="1" s="1"/>
  <c r="K12" i="1" a="1"/>
  <c r="K12" i="1"/>
  <c r="K13" i="1" a="1"/>
  <c r="K13" i="1"/>
  <c r="K14" i="1" a="1"/>
  <c r="K14" i="1" s="1"/>
  <c r="K15" i="1" a="1"/>
  <c r="K15" i="1" s="1"/>
  <c r="K2" i="1" a="1"/>
  <c r="K2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H15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<sst xmlns="http://schemas.openxmlformats.org/spreadsheetml/2006/main" count="34" uniqueCount="34">
  <si>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</si>
  <si>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</si>
  <si>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</si>
  <si>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</si>
  <si>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</si>
  <si>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</si>
  <si>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</si>
  <si>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</si>
  <si>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</si>
  <si>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</si>
  <si>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</si>
  <si>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</si>
  <si>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</si>
  <si>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</si>
  <si>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1" type="noConversion"/>
  </si>
  <si>
    <t>Exam1</t>
    <phoneticPr fontId="1" type="noConversion"/>
  </si>
  <si>
    <t>Exam2</t>
    <phoneticPr fontId="1" type="noConversion"/>
  </si>
  <si>
    <t>Exam3</t>
    <phoneticPr fontId="1" type="noConversion"/>
  </si>
  <si>
    <t>Exam4</t>
    <phoneticPr fontId="1" type="noConversion"/>
  </si>
  <si>
    <t>Exam5</t>
    <phoneticPr fontId="1" type="noConversion"/>
  </si>
  <si>
    <t>Midterm</t>
    <phoneticPr fontId="1" type="noConversion"/>
  </si>
  <si>
    <t>Q1: Exam_Average</t>
    <phoneticPr fontId="1" type="noConversion"/>
  </si>
  <si>
    <t>Q2: overall score</t>
    <phoneticPr fontId="1" type="noConversion"/>
  </si>
  <si>
    <t>Q3</t>
    <phoneticPr fontId="1" type="noConversion"/>
  </si>
  <si>
    <t>Q4</t>
    <phoneticPr fontId="1" type="noConversion"/>
  </si>
  <si>
    <t>Q6 answer ò</t>
  </si>
  <si>
    <t>Q7 answer ò</t>
  </si>
  <si>
    <t>Q8 answer ò</t>
  </si>
  <si>
    <t>Q5 answer ò</t>
  </si>
  <si>
    <t>Q10 answer ò</t>
  </si>
  <si>
    <t>Q9 answer ò</t>
  </si>
  <si>
    <t>name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</si>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</sst>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0E4B4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Score Bar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D-4C9B-8D0E-E5DD35EF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722735"/>
        <c:axId val="950719375"/>
      </c:barChart>
      <c:catAx>
        <c:axId val="95072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19375"/>
        <c:crosses val="autoZero"/>
        <c:auto val="1"/>
        <c:lblAlgn val="ctr"/>
        <c:lblOffset val="100"/>
        <c:noMultiLvlLbl val="0"/>
      </c:catAx>
      <c:valAx>
        <c:axId val="9507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2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Passing</a:t>
            </a:r>
            <a:r>
              <a:rPr lang="en-US" baseline="0"/>
              <a:t> and Failing Percentage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B0E4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3-4000-BF6F-6B1E35381539}"/>
              </c:ext>
            </c:extLst>
          </c:dPt>
          <c:dPt>
            <c:idx val="1"/>
            <c:bubble3D val="0"/>
            <c:spPr>
              <a:solidFill>
                <a:srgbClr val="FFB7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73-4000-BF6F-6B1E3538153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工作表1!$K$17:$K$18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工作表1!$L$17:$L$18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3-4000-BF6F-6B1E35381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24</xdr:row>
      <xdr:rowOff>9525</xdr:rowOff>
    </xdr:from>
    <xdr:to>
      <xdr:col>10</xdr:col>
      <xdr:colOff>9524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5ED91C-263E-21E2-B1CD-48361E075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557211</xdr:colOff>
      <xdr:row>18</xdr:row>
      <xdr:rowOff>14287</xdr:rowOff>
    </xdr:from>
    <xdr:to>
      <xdr:col>16</xdr:col>
      <xdr:colOff>76199</xdr:colOff>
      <xdr:row>31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37964C-3C8F-3297-B2A4-F1DBDEC91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topLeftCell="G6" workbookViewId="0">
      <selection activeCell="I22" sqref="I22"/>
    </sheetView>
  </sheetViews>
  <sheetFormatPr defaultRowHeight="15.75"/>
  <cols>
    <col min="1" max="2" width="9" style="3"/>
    <col min="3" max="4" width="13" style="3" bestFit="1" customWidth="1"/>
    <col min="5" max="7" width="9" style="3"/>
    <col min="8" max="8" width="18.6875" style="3" bestFit="1" customWidth="1"/>
    <col min="9" max="9" width="9" style="3"/>
    <col min="10" max="10" width="16.125" style="6" bestFit="1" customWidth="1"/>
    <col min="11" max="11" width="7.3125" style="6" customWidth="1"/>
    <col min="12" max="12" width="23" style="3" customWidth="1"/>
    <col min="13" max="16384" width="9" style="3"/>
  </cols>
  <sheetData>
    <row r="1" spans="1:12">
      <c r="A1" s="1" t="s">
        <v>14</v>
      </c>
      <c r="B1" s="1" t="s">
        <v>31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21</v>
      </c>
      <c r="I1" s="1" t="s">
        <v>20</v>
      </c>
      <c r="J1" s="2" t="s">
        <v>22</v>
      </c>
      <c r="K1" s="2" t="s">
        <v>23</v>
      </c>
      <c r="L1" s="2" t="s">
        <v>24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6">
        <f>SUM(H2:I2)*0.5</f>
        <v>91.7</v>
      </c>
      <c r="K2" s="6" t="str" cm="1">
        <f t="array" ref="K2">_xlfn.IFS(J2&gt;=90,"A",J2&gt;=80,"B",J2&gt;=70,"C",J2&gt;=60,"D",J2&gt;=0,"F")</f>
        <v>A</v>
      </c>
      <c r="L2" s="3" t="str">
        <f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4" si="0">AVERAGE(C3:G3)</f>
        <v>86</v>
      </c>
      <c r="I3" s="1">
        <v>94</v>
      </c>
      <c r="J3" s="6">
        <f t="shared" ref="J3:J15" si="1">SUM(H3:I3)*0.5</f>
        <v>90</v>
      </c>
      <c r="K3" s="6" t="str" cm="1">
        <f t="array" ref="K3">_xlfn.IFS(J3&gt;=90,"A",J3&gt;=80,"B",J3&gt;=70,"C",J3&gt;=60,"D",J3&gt;=0,"F")</f>
        <v>A</v>
      </c>
      <c r="L3" s="3" t="str">
        <f t="shared" ref="L3:L15" si="2">IF(J3&gt;=60,"pass","fail")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6">
        <f t="shared" si="1"/>
        <v>81.2</v>
      </c>
      <c r="K4" s="6" t="str" cm="1">
        <f t="array" ref="K4">_xlfn.IFS(J4&gt;=90,"A",J4&gt;=80,"B",J4&gt;=70,"C",J4&gt;=60,"D",J4&gt;=0,"F")</f>
        <v>B</v>
      </c>
      <c r="L4" s="3" t="str">
        <f t="shared" si="2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6">
        <f t="shared" si="1"/>
        <v>80.8</v>
      </c>
      <c r="K5" s="6" t="str" cm="1">
        <f t="array" ref="K5">_xlfn.IFS(J5&gt;=90,"A",J5&gt;=80,"B",J5&gt;=70,"C",J5&gt;=60,"D",J5&gt;=0,"F")</f>
        <v>B</v>
      </c>
      <c r="L5" s="3" t="str">
        <f t="shared" si="2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6">
        <f t="shared" si="1"/>
        <v>84.7</v>
      </c>
      <c r="K6" s="6" t="str" cm="1">
        <f t="array" ref="K6">_xlfn.IFS(J6&gt;=90,"A",J6&gt;=80,"B",J6&gt;=70,"C",J6&gt;=60,"D",J6&gt;=0,"F")</f>
        <v>B</v>
      </c>
      <c r="L6" s="3" t="str">
        <f t="shared" si="2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6">
        <f t="shared" si="1"/>
        <v>80.8</v>
      </c>
      <c r="K7" s="6" t="str" cm="1">
        <f t="array" ref="K7">_xlfn.IFS(J7&gt;=90,"A",J7&gt;=80,"B",J7&gt;=70,"C",J7&gt;=60,"D",J7&gt;=0,"F")</f>
        <v>B</v>
      </c>
      <c r="L7" s="3" t="str">
        <f t="shared" si="2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6">
        <f t="shared" si="1"/>
        <v>77.900000000000006</v>
      </c>
      <c r="K8" s="6" t="str" cm="1">
        <f t="array" ref="K8">_xlfn.IFS(J8&gt;=90,"A",J8&gt;=80,"B",J8&gt;=70,"C",J8&gt;=60,"D",J8&gt;=0,"F")</f>
        <v>C</v>
      </c>
      <c r="L8" s="3" t="str">
        <f t="shared" si="2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6">
        <f t="shared" si="1"/>
        <v>74.2</v>
      </c>
      <c r="K9" s="6" t="str" cm="1">
        <f t="array" ref="K9">_xlfn.IFS(J9&gt;=90,"A",J9&gt;=80,"B",J9&gt;=70,"C",J9&gt;=60,"D",J9&gt;=0,"F")</f>
        <v>C</v>
      </c>
      <c r="L9" s="3" t="str">
        <f t="shared" si="2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6">
        <f t="shared" si="1"/>
        <v>75.2</v>
      </c>
      <c r="K10" s="6" t="str" cm="1">
        <f t="array" ref="K10">_xlfn.IFS(J10&gt;=90,"A",J10&gt;=80,"B",J10&gt;=70,"C",J10&gt;=60,"D",J10&gt;=0,"F")</f>
        <v>C</v>
      </c>
      <c r="L10" s="3" t="str">
        <f t="shared" si="2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6">
        <f t="shared" si="1"/>
        <v>77.599999999999994</v>
      </c>
      <c r="K11" s="6" t="str" cm="1">
        <f t="array" ref="K11">_xlfn.IFS(J11&gt;=90,"A",J11&gt;=80,"B",J11&gt;=70,"C",J11&gt;=60,"D",J11&gt;=0,"F")</f>
        <v>C</v>
      </c>
      <c r="L11" s="3" t="str">
        <f t="shared" si="2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4">
        <v>67</v>
      </c>
      <c r="G12" s="1">
        <v>82</v>
      </c>
      <c r="H12" s="1">
        <f t="shared" si="0"/>
        <v>73.2</v>
      </c>
      <c r="I12" s="1">
        <v>88</v>
      </c>
      <c r="J12" s="6">
        <f t="shared" si="1"/>
        <v>80.599999999999994</v>
      </c>
      <c r="K12" s="6" t="str" cm="1">
        <f t="array" ref="K12">_xlfn.IFS(J12&gt;=90,"A",J12&gt;=80,"B",J12&gt;=70,"C",J12&gt;=60,"D",J12&gt;=0,"F")</f>
        <v>B</v>
      </c>
      <c r="L12" s="3" t="str">
        <f t="shared" si="2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6">
        <f t="shared" si="1"/>
        <v>59</v>
      </c>
      <c r="K13" s="6" t="str" cm="1">
        <f t="array" ref="K13">_xlfn.IFS(J13&gt;=90,"A",J13&gt;=80,"B",J13&gt;=70,"C",J13&gt;=60,"D",J13&gt;=0,"F")</f>
        <v>F</v>
      </c>
      <c r="L13" s="3" t="str">
        <f t="shared" si="2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6">
        <f t="shared" si="1"/>
        <v>66.900000000000006</v>
      </c>
      <c r="K14" s="6" t="str" cm="1">
        <f t="array" ref="K14">_xlfn.IFS(J14&gt;=90,"A",J14&gt;=80,"B",J14&gt;=70,"C",J14&gt;=60,"D",J14&gt;=0,"F")</f>
        <v>D</v>
      </c>
      <c r="L14" s="3" t="str">
        <f t="shared" si="2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>AVERAGE(C15:G15)</f>
        <v>57.2</v>
      </c>
      <c r="I15" s="1">
        <v>54</v>
      </c>
      <c r="J15" s="6">
        <f t="shared" si="1"/>
        <v>55.6</v>
      </c>
      <c r="K15" s="6" t="str" cm="1">
        <f t="array" ref="K15">_xlfn.IFS(J15&gt;=90,"A",J15&gt;=80,"B",J15&gt;=70,"C",J15&gt;=60,"D",J15&gt;=0,"F")</f>
        <v>F</v>
      </c>
      <c r="L15" s="3" t="str">
        <f t="shared" si="2"/>
        <v>fail</v>
      </c>
    </row>
    <row r="16" spans="1:12">
      <c r="C16" s="5" t="s">
        <v>25</v>
      </c>
      <c r="D16" s="5" t="s">
        <v>26</v>
      </c>
      <c r="H16" s="5" t="s">
        <v>27</v>
      </c>
      <c r="J16" s="7" t="s">
        <v>28</v>
      </c>
      <c r="L16" s="5" t="s">
        <v>29</v>
      </c>
    </row>
    <row r="17" spans="3:12">
      <c r="C17" s="6">
        <f>LARGE(C2:C15,1)</f>
        <v>98</v>
      </c>
      <c r="D17" s="6">
        <f>LARGE(D2:D15,2)</f>
        <v>92</v>
      </c>
      <c r="H17" s="6">
        <f>COUNTIF(H2:H15,"&lt;80")</f>
        <v>8</v>
      </c>
      <c r="J17" s="6">
        <f>AVERAGE(J2:J15)</f>
        <v>76.871428571428581</v>
      </c>
      <c r="K17" s="6" t="s">
        <v>32</v>
      </c>
      <c r="L17" s="3">
        <f>COUNTIF(L2:L15,"pass")</f>
        <v>12</v>
      </c>
    </row>
    <row r="18" spans="3:12">
      <c r="K18" s="6" t="s">
        <v>33</v>
      </c>
      <c r="L18" s="3">
        <f>COUNTIF(L2:L15,"fail")</f>
        <v>2</v>
      </c>
    </row>
    <row r="24" spans="3:12">
      <c r="J24" s="7" t="s">
        <v>30</v>
      </c>
    </row>
  </sheetData>
  <phoneticPr fontId="1" type="noConversion"/>
  <conditionalFormatting sqref="L2:L15">
    <cfRule type="cellIs" dxfId="2" priority="4" operator="equal">
      <formula>"pass"</formula>
    </cfRule>
  </conditionalFormatting>
  <conditionalFormatting sqref="L13">
    <cfRule type="cellIs" dxfId="1" priority="2" operator="equal">
      <formula>"fail"</formula>
    </cfRule>
  </conditionalFormatting>
  <conditionalFormatting sqref="L15">
    <cfRule type="cellIs" dxfId="0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Pei-Shin Lin</cp:lastModifiedBy>
  <dcterms:created xsi:type="dcterms:W3CDTF">2023-10-19T05:27:10Z</dcterms:created>
  <dcterms:modified xsi:type="dcterms:W3CDTF">2025-10-07T18:12:32Z</dcterms:modified>
</cp:coreProperties>
</file>